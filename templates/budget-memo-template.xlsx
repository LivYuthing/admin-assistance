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 Log" sheetId="1" state="visible" r:id="rId1"/>
    <sheet name="Budget Me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horizontal="center" wrapText="1"/>
    </xf>
    <xf numFmtId="0" fontId="0" fillId="4" borderId="1" pivotButton="0" quotePrefix="0" xfId="0"/>
    <xf numFmtId="0" fontId="2" fillId="3" borderId="0" pivotButton="0" quotePrefix="0" xfId="0"/>
    <xf numFmtId="4" fontId="0" fillId="4" borderId="1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4" fontId="3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2" customWidth="1" min="4" max="4"/>
    <col width="26" customWidth="1" min="5" max="5"/>
    <col width="14" customWidth="1" min="6" max="6"/>
    <col width="16" customWidth="1" min="7" max="7"/>
    <col width="9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  <col width="12" customWidth="1" min="15" max="15"/>
    <col width="20" customWidth="1" min="16" max="16"/>
    <col width="16" customWidth="1" min="19" max="19"/>
    <col width="16" customWidth="1" min="20" max="20"/>
    <col width="14" customWidth="1" min="21" max="21"/>
  </cols>
  <sheetData>
    <row r="1">
      <c r="A1" s="1" t="inlineStr">
        <is>
          <t>Subscription Log</t>
        </is>
      </c>
    </row>
    <row r="3">
      <c r="A3" s="2" t="inlineStr">
        <is>
          <t>No.</t>
        </is>
      </c>
      <c r="B3" s="2" t="inlineStr">
        <is>
          <t>Month</t>
        </is>
      </c>
      <c r="C3" s="2" t="inlineStr">
        <is>
          <t>Owner</t>
        </is>
      </c>
      <c r="D3" s="2" t="inlineStr">
        <is>
          <t>Owner Tel</t>
        </is>
      </c>
      <c r="E3" s="2" t="inlineStr">
        <is>
          <t>Email to subscribe</t>
        </is>
      </c>
      <c r="F3" s="2" t="inlineStr">
        <is>
          <t>Service</t>
        </is>
      </c>
      <c r="G3" s="2" t="inlineStr">
        <is>
          <t>Budget Category</t>
        </is>
      </c>
      <c r="H3" s="2" t="inlineStr">
        <is>
          <t>Currency</t>
        </is>
      </c>
      <c r="I3" s="2" t="inlineStr">
        <is>
          <t>Amount (Original)</t>
        </is>
      </c>
      <c r="J3" s="2" t="inlineStr">
        <is>
          <t>Exchange Rate</t>
        </is>
      </c>
      <c r="K3" s="2" t="inlineStr">
        <is>
          <t>Amount (THB)</t>
        </is>
      </c>
      <c r="L3" s="2" t="inlineStr">
        <is>
          <t>Subscription date</t>
        </is>
      </c>
      <c r="M3" s="2" t="inlineStr">
        <is>
          <t>Subscription type</t>
        </is>
      </c>
      <c r="N3" s="2" t="inlineStr">
        <is>
          <t>Status</t>
        </is>
      </c>
      <c r="O3" s="2" t="inlineStr">
        <is>
          <t>Memo No.</t>
        </is>
      </c>
      <c r="P3" s="2" t="inlineStr">
        <is>
          <t>Note</t>
        </is>
      </c>
      <c r="S3" s="3" t="inlineStr">
        <is>
          <t>Budget Summary by Category</t>
        </is>
      </c>
    </row>
    <row r="4">
      <c r="A4" s="4" t="n">
        <v>1</v>
      </c>
      <c r="B4" s="4" t="inlineStr">
        <is>
          <t>Jul-25</t>
        </is>
      </c>
      <c r="C4" s="4" t="inlineStr">
        <is>
          <t>Chongrak Tanaka</t>
        </is>
      </c>
      <c r="D4" s="4" t="inlineStr">
        <is>
          <t>969196551</t>
        </is>
      </c>
      <c r="E4" s="4" t="inlineStr">
        <is>
          <t>riscompanylimited@gmail.com</t>
        </is>
      </c>
      <c r="F4" s="4" t="inlineStr">
        <is>
          <t>Claude AI</t>
        </is>
      </c>
      <c r="G4" s="4" t="inlineStr">
        <is>
          <t>R&amp;D 1</t>
        </is>
      </c>
      <c r="H4" s="4" t="inlineStr">
        <is>
          <t>THB</t>
        </is>
      </c>
      <c r="I4" s="5" t="n">
        <v>100</v>
      </c>
      <c r="J4" s="5" t="n">
        <v>1</v>
      </c>
      <c r="K4" s="5" t="n">
        <v>100</v>
      </c>
      <c r="L4" s="4" t="inlineStr">
        <is>
          <t>2025-07-07</t>
        </is>
      </c>
      <c r="M4" s="4" t="inlineStr">
        <is>
          <t>Monthly</t>
        </is>
      </c>
      <c r="N4" s="4" t="inlineStr">
        <is>
          <t>Active</t>
        </is>
      </c>
      <c r="O4" s="4" t="inlineStr">
        <is>
          <t>MB-2025-07-01</t>
        </is>
      </c>
      <c r="P4" s="4" t="inlineStr"/>
      <c r="S4" s="6" t="inlineStr">
        <is>
          <t>Category</t>
        </is>
      </c>
      <c r="T4" s="6" t="inlineStr">
        <is>
          <t>Approved Budget</t>
        </is>
      </c>
      <c r="U4" s="6" t="inlineStr">
        <is>
          <t>Used (THB)</t>
        </is>
      </c>
    </row>
    <row r="5">
      <c r="A5" s="4" t="n">
        <v>2</v>
      </c>
      <c r="B5" s="4" t="inlineStr">
        <is>
          <t>Jul-25</t>
        </is>
      </c>
      <c r="C5" s="4" t="inlineStr">
        <is>
          <t>Chongrak Tanaka</t>
        </is>
      </c>
      <c r="D5" s="4" t="inlineStr">
        <is>
          <t>969196551</t>
        </is>
      </c>
      <c r="E5" s="4" t="inlineStr">
        <is>
          <t>riscompanylimited@gmail.com</t>
        </is>
      </c>
      <c r="F5" s="4" t="inlineStr">
        <is>
          <t>Firecrawl</t>
        </is>
      </c>
      <c r="G5" s="4" t="inlineStr">
        <is>
          <t>R&amp;D 1</t>
        </is>
      </c>
      <c r="H5" s="4" t="inlineStr">
        <is>
          <t>THB</t>
        </is>
      </c>
      <c r="I5" s="5" t="n">
        <v>17.1</v>
      </c>
      <c r="J5" s="5" t="n">
        <v>1</v>
      </c>
      <c r="K5" s="5" t="n">
        <v>17.1</v>
      </c>
      <c r="L5" s="4" t="inlineStr">
        <is>
          <t>2025-07-07</t>
        </is>
      </c>
      <c r="M5" s="4" t="inlineStr">
        <is>
          <t>Monthly</t>
        </is>
      </c>
      <c r="N5" s="4" t="inlineStr">
        <is>
          <t>Active</t>
        </is>
      </c>
      <c r="O5" s="4" t="inlineStr">
        <is>
          <t>MB-2025-07-01</t>
        </is>
      </c>
      <c r="P5" s="4" t="inlineStr"/>
      <c r="S5" s="4" t="inlineStr">
        <is>
          <t>R&amp;D 1</t>
        </is>
      </c>
      <c r="T5" s="4" t="n"/>
      <c r="U5" s="5">
        <f>SUMIF($G$4:$G$31,S5,$K$4:$K$31)</f>
        <v/>
      </c>
    </row>
    <row r="6">
      <c r="A6" s="4" t="n">
        <v>3</v>
      </c>
      <c r="B6" s="4" t="inlineStr">
        <is>
          <t>Jul-25</t>
        </is>
      </c>
      <c r="C6" s="4" t="inlineStr">
        <is>
          <t>Chongrak Tanaka</t>
        </is>
      </c>
      <c r="D6" s="4" t="inlineStr">
        <is>
          <t>969196551</t>
        </is>
      </c>
      <c r="E6" s="4" t="inlineStr">
        <is>
          <t>riscompanylimited@gmail.com</t>
        </is>
      </c>
      <c r="F6" s="4" t="inlineStr">
        <is>
          <t>R&amp;D 2 tool</t>
        </is>
      </c>
      <c r="G6" s="4" t="inlineStr">
        <is>
          <t>R&amp;D 2</t>
        </is>
      </c>
      <c r="H6" s="4" t="inlineStr">
        <is>
          <t>USD</t>
        </is>
      </c>
      <c r="I6" s="5" t="n">
        <v>40</v>
      </c>
      <c r="J6" s="5" t="n">
        <v>40</v>
      </c>
      <c r="K6" s="5">
        <f>I6*J6</f>
        <v/>
      </c>
      <c r="L6" s="4" t="inlineStr">
        <is>
          <t>2025-07-07</t>
        </is>
      </c>
      <c r="M6" s="4" t="inlineStr">
        <is>
          <t>Monthly</t>
        </is>
      </c>
      <c r="N6" s="4" t="inlineStr">
        <is>
          <t>Active</t>
        </is>
      </c>
      <c r="O6" s="4" t="inlineStr">
        <is>
          <t>MB-2025-07-01</t>
        </is>
      </c>
      <c r="P6" s="4" t="inlineStr">
        <is>
          <t>x 40 USD</t>
        </is>
      </c>
      <c r="S6" s="4" t="inlineStr">
        <is>
          <t>R&amp;D 2</t>
        </is>
      </c>
      <c r="T6" s="4" t="n"/>
      <c r="U6" s="5">
        <f>SUMIF($G$4:$G$31,S6,$K$4:$K$31)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S7" s="4" t="inlineStr">
        <is>
          <t>Pang Project</t>
        </is>
      </c>
      <c r="T7" s="4" t="n"/>
      <c r="U7" s="5">
        <f>SUMIF($G$4:$G$31,S7,$K$4:$K$31)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S8" s="4" t="inlineStr">
        <is>
          <t>ProNext 2026</t>
        </is>
      </c>
      <c r="T8" s="4" t="n"/>
      <c r="U8" s="5">
        <f>SUMIF($G$4:$G$31,S8,$K$4:$K$31)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</sheetData>
  <mergeCells count="2">
    <mergeCell ref="S3:U3"/>
    <mergeCell ref="A1:F1"/>
  </mergeCells>
  <dataValidations count="4">
    <dataValidation sqref="G4:G31" showDropDown="0" showInputMessage="0" showErrorMessage="0" allowBlank="1" type="list">
      <formula1>"R&amp;D 1,R&amp;D 2,Pang Project,ProNext 2026,Other"</formula1>
    </dataValidation>
    <dataValidation sqref="H4:H31" showDropDown="0" showInputMessage="0" showErrorMessage="0" allowBlank="1" type="list">
      <formula1>"THB,USD"</formula1>
    </dataValidation>
    <dataValidation sqref="M4:M31" showDropDown="0" showInputMessage="0" showErrorMessage="0" allowBlank="1" type="list">
      <formula1>"Monthly,Onetime"</formula1>
    </dataValidation>
    <dataValidation sqref="N4:N31" showDropDown="0" showInputMessage="0" showErrorMessage="0" allowBlank="1" type="list">
      <formula1>"Active,Cancelled,Pending"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4" customHeight="1">
      <c r="A1" s="1" t="inlineStr">
        <is>
          <t>บันทึกข้อความขอใช้จ่ายงบประมาณ (Budget Usage Memo)</t>
        </is>
      </c>
    </row>
    <row r="3">
      <c r="A3" s="3" t="inlineStr">
        <is>
          <t>Memo No.</t>
        </is>
      </c>
      <c r="B3" s="7" t="n"/>
      <c r="D3" s="3" t="inlineStr">
        <is>
          <t>Date</t>
        </is>
      </c>
      <c r="E3" s="7" t="n"/>
    </row>
    <row r="4">
      <c r="A4" s="3" t="inlineStr">
        <is>
          <t>To (เรียน)</t>
        </is>
      </c>
      <c r="B4" s="7" t="n"/>
    </row>
    <row r="5">
      <c r="A5" s="3" t="inlineStr">
        <is>
          <t>From (จาก)</t>
        </is>
      </c>
      <c r="B5" s="7" t="n"/>
      <c r="D5" s="3" t="inlineStr">
        <is>
          <t>Department/Project</t>
        </is>
      </c>
      <c r="E5" s="7" t="n"/>
    </row>
    <row r="6">
      <c r="A6" s="3" t="inlineStr">
        <is>
          <t>Subject (เรื่อง)</t>
        </is>
      </c>
      <c r="B6" s="7" t="n"/>
    </row>
    <row r="7">
      <c r="A7" s="3" t="inlineStr">
        <is>
          <t>Budget Category อ้างอิง</t>
        </is>
      </c>
      <c r="B7" s="7" t="n"/>
      <c r="D7" s="3" t="inlineStr">
        <is>
          <t>Period Covered (ช่วงเวลา)</t>
        </is>
      </c>
      <c r="E7" s="7" t="n"/>
    </row>
    <row r="9">
      <c r="A9" s="8" t="inlineStr">
        <is>
          <t>สรุปงบประมาณ (Budget Summary)</t>
        </is>
      </c>
    </row>
    <row r="10">
      <c r="A10" s="3" t="inlineStr">
        <is>
          <t>Approved Budget (งบที่อนุมัติ)</t>
        </is>
      </c>
      <c r="G10" s="9" t="n"/>
    </row>
    <row r="11">
      <c r="A11" s="3" t="inlineStr">
        <is>
          <t>Used Budget Brought Forward (ยอดใช้สะสมก่อนบันทึกนี้)</t>
        </is>
      </c>
      <c r="G11" s="9" t="n"/>
    </row>
    <row r="12">
      <c r="A12" s="3" t="inlineStr">
        <is>
          <t>Amount in This Memo (ยอดตามบันทึกนี้)</t>
        </is>
      </c>
      <c r="G12" s="9">
        <f>H34</f>
        <v/>
      </c>
    </row>
    <row r="13">
      <c r="A13" s="3" t="inlineStr">
        <is>
          <t>Remaining Budget After This Memo (คงเหลือหลังบันทึกนี้)</t>
        </is>
      </c>
      <c r="G13" s="9">
        <f>G10-G11-G12</f>
        <v/>
      </c>
    </row>
    <row r="14">
      <c r="A14" s="3" t="inlineStr">
        <is>
          <t>Cross-check: Total from Subscription Log (by Memo No.)</t>
        </is>
      </c>
      <c r="G14" s="9">
        <f>SUMIF('Subscription Log'!$O$4:$O$1000,$B$3,'Subscription Log'!$K$4:$K$1000)</f>
        <v/>
      </c>
    </row>
    <row r="15">
      <c r="A15" s="10" t="inlineStr">
        <is>
          <t>ตรวจสอบ: ยอดข้างต้นต้องเท่ากับยอด Cross-check จาก Subscription Log มิฉะนั้นแสดงว่ามีรายการตกหล่น</t>
        </is>
      </c>
    </row>
    <row r="17">
      <c r="A17" s="3" t="inlineStr">
        <is>
          <t>รายละเอียดรายการที่ประกอบเป็นยอดในบันทึกนี้ (คัดลอก/กรองจากชีท Subscription Log ที่มี Memo No. ตรงกัน)</t>
        </is>
      </c>
    </row>
    <row r="18">
      <c r="A18" s="11" t="inlineStr">
        <is>
          <t>No.</t>
        </is>
      </c>
      <c r="B18" s="11" t="inlineStr">
        <is>
          <t>Ref. No. (Subscription Log)</t>
        </is>
      </c>
      <c r="C18" s="11" t="inlineStr">
        <is>
          <t>Service/Description</t>
        </is>
      </c>
      <c r="D18" s="11" t="inlineStr">
        <is>
          <t>Owner</t>
        </is>
      </c>
      <c r="E18" s="11" t="inlineStr">
        <is>
          <t>Period</t>
        </is>
      </c>
      <c r="F18" s="11" t="inlineStr">
        <is>
          <t>Currency</t>
        </is>
      </c>
      <c r="G18" s="11" t="inlineStr">
        <is>
          <t>Amount (Original)</t>
        </is>
      </c>
      <c r="H18" s="11" t="inlineStr">
        <is>
          <t>Amount (THB)</t>
        </is>
      </c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</row>
    <row r="34">
      <c r="G34" s="12" t="inlineStr">
        <is>
          <t>Total</t>
        </is>
      </c>
      <c r="H34" s="13">
        <f>SUM(H19:H33)</f>
        <v/>
      </c>
    </row>
    <row r="36">
      <c r="A36" s="3" t="inlineStr">
        <is>
          <t>หมายเหตุ/คำชี้แจง (Remarks / Justification)</t>
        </is>
      </c>
    </row>
    <row r="37">
      <c r="A37" s="14" t="n"/>
    </row>
    <row r="38"/>
    <row r="39"/>
    <row r="41">
      <c r="A41" s="8" t="inlineStr">
        <is>
          <t>การอนุมัติ (Approval)</t>
        </is>
      </c>
    </row>
    <row r="42">
      <c r="A42" s="3" t="inlineStr">
        <is>
          <t>Prepared by (ผู้จัดทำ)</t>
        </is>
      </c>
      <c r="D42" s="3" t="inlineStr">
        <is>
          <t>Reviewed by (ผู้ตรวจสอบ)</t>
        </is>
      </c>
      <c r="G42" s="3" t="inlineStr">
        <is>
          <t>Approved by (ผู้อนุมัติ)</t>
        </is>
      </c>
    </row>
    <row r="43">
      <c r="A43" s="10" t="inlineStr">
        <is>
          <t>Signature</t>
        </is>
      </c>
      <c r="B43" s="4" t="n"/>
      <c r="D43" s="10" t="inlineStr">
        <is>
          <t>Signature</t>
        </is>
      </c>
      <c r="E43" s="4" t="n"/>
      <c r="G43" s="10" t="inlineStr">
        <is>
          <t>Signature</t>
        </is>
      </c>
      <c r="H43" s="4" t="n"/>
    </row>
    <row r="44">
      <c r="A44" s="10" t="inlineStr">
        <is>
          <t>Position</t>
        </is>
      </c>
      <c r="B44" s="4" t="n"/>
      <c r="D44" s="10" t="inlineStr">
        <is>
          <t>Position</t>
        </is>
      </c>
      <c r="E44" s="4" t="n"/>
      <c r="G44" s="10" t="inlineStr">
        <is>
          <t>Position</t>
        </is>
      </c>
      <c r="H44" s="4" t="n"/>
    </row>
    <row r="45">
      <c r="A45" s="10" t="inlineStr">
        <is>
          <t>Date</t>
        </is>
      </c>
      <c r="B45" s="4" t="n"/>
      <c r="D45" s="10" t="inlineStr">
        <is>
          <t>Date</t>
        </is>
      </c>
      <c r="E45" s="4" t="n"/>
      <c r="G45" s="10" t="inlineStr">
        <is>
          <t>Date</t>
        </is>
      </c>
      <c r="H45" s="4" t="n"/>
    </row>
  </sheetData>
  <mergeCells count="37">
    <mergeCell ref="A9:H9"/>
    <mergeCell ref="G12:H12"/>
    <mergeCell ref="B7:C7"/>
    <mergeCell ref="A15:H15"/>
    <mergeCell ref="B3:C3"/>
    <mergeCell ref="G11:H11"/>
    <mergeCell ref="G42:H42"/>
    <mergeCell ref="E5:F5"/>
    <mergeCell ref="A36:H36"/>
    <mergeCell ref="A12:F12"/>
    <mergeCell ref="A1:H1"/>
    <mergeCell ref="B45"/>
    <mergeCell ref="E43"/>
    <mergeCell ref="A14:F14"/>
    <mergeCell ref="G10:H10"/>
    <mergeCell ref="A41:H41"/>
    <mergeCell ref="H43"/>
    <mergeCell ref="G13:H13"/>
    <mergeCell ref="B6:G6"/>
    <mergeCell ref="H44"/>
    <mergeCell ref="A10:F10"/>
    <mergeCell ref="B43"/>
    <mergeCell ref="A13:F13"/>
    <mergeCell ref="E44"/>
    <mergeCell ref="A37:H39"/>
    <mergeCell ref="A42:B42"/>
    <mergeCell ref="B4:G4"/>
    <mergeCell ref="G14:H14"/>
    <mergeCell ref="A17:H17"/>
    <mergeCell ref="A11:F11"/>
    <mergeCell ref="D42:E42"/>
    <mergeCell ref="E7:F7"/>
    <mergeCell ref="B44"/>
    <mergeCell ref="B5:C5"/>
    <mergeCell ref="H45"/>
    <mergeCell ref="E3:F3"/>
    <mergeCell ref="E45"/>
  </mergeCells>
  <dataValidations count="1">
    <dataValidation sqref="B7:C7" showDropDown="0" showInputMessage="0" showErrorMessage="0" allowBlank="1" type="list">
      <formula1>"R&amp;D 1,R&amp;D 2,Pang Project,ProNext 2026,Other"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2026-07-17T09:37:48Z</dcterms:created>
  <dcterms:modified xsi:type="dcterms:W3CDTF">2026-07-17T09:37:48Z</dcterms:modified>
</cp:coreProperties>
</file>